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Revenue" state="visible" r:id="rId5"/>
    <sheet sheetId="3" name="Headcount" state="visible" r:id="rId6"/>
    <sheet sheetId="4" name="Opex" state="visible" r:id="rId7"/>
    <sheet sheetId="5" name="Assumptions" state="visible" r:id="rId8"/>
  </sheets>
  <calcPr calcId="171027"/>
</workbook>
</file>

<file path=xl/sharedStrings.xml><?xml version="1.0" encoding="utf-8"?>
<sst xmlns="http://schemas.openxmlformats.org/spreadsheetml/2006/main" count="68" uniqueCount="34">
  <si>
    <t>GL_ACCT</t>
  </si>
  <si>
    <t>COST_CENTER</t>
  </si>
  <si>
    <t>MONTH</t>
  </si>
  <si>
    <t>ACTUAL</t>
  </si>
  <si>
    <t>FCST</t>
  </si>
  <si>
    <t>Revenue</t>
  </si>
  <si>
    <t>NA-IND</t>
  </si>
  <si>
    <t>P01</t>
  </si>
  <si>
    <t>NA-SVC</t>
  </si>
  <si>
    <t>EU-IND</t>
  </si>
  <si>
    <t>EU-SVC</t>
  </si>
  <si>
    <t>COGS</t>
  </si>
  <si>
    <t>Operating Expense</t>
  </si>
  <si>
    <t>Shared Programs</t>
  </si>
  <si>
    <t>Product</t>
  </si>
  <si>
    <t>Region</t>
  </si>
  <si>
    <t>Jan</t>
  </si>
  <si>
    <t>Feb</t>
  </si>
  <si>
    <t>Q1 Run Rate</t>
  </si>
  <si>
    <t>Industrial</t>
  </si>
  <si>
    <t>North America</t>
  </si>
  <si>
    <t>Services</t>
  </si>
  <si>
    <t>Europe</t>
  </si>
  <si>
    <t>Dept</t>
  </si>
  <si>
    <t>Period</t>
  </si>
  <si>
    <t>Amount</t>
  </si>
  <si>
    <t>Corporate</t>
  </si>
  <si>
    <t>GL Account</t>
  </si>
  <si>
    <t>Assumption</t>
  </si>
  <si>
    <t>Value</t>
  </si>
  <si>
    <t>Unit</t>
  </si>
  <si>
    <t>Price growth</t>
  </si>
  <si>
    <t>Percent</t>
  </si>
  <si>
    <t>Hiring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</si>
</sst>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67000000</v>
      </c>
      <c r="E2">
        <v>70000000</v>
      </c>
    </row>
    <row r="3" spans="1:5" x14ac:dyDescent="0.25">
      <c r="A3" t="s">
        <v>5</v>
      </c>
      <c r="B3" t="s">
        <v>8</v>
      </c>
      <c r="C3" t="s">
        <v>7</v>
      </c>
      <c r="D3">
        <v>29000000</v>
      </c>
      <c r="E3">
        <v>30000000</v>
      </c>
    </row>
    <row r="4" spans="1:5" x14ac:dyDescent="0.25">
      <c r="A4" t="s">
        <v>5</v>
      </c>
      <c r="B4" t="s">
        <v>9</v>
      </c>
      <c r="C4" t="s">
        <v>7</v>
      </c>
      <c r="D4">
        <v>25000000</v>
      </c>
      <c r="E4">
        <v>25000000</v>
      </c>
    </row>
    <row r="5" spans="1:5" x14ac:dyDescent="0.25">
      <c r="A5" t="s">
        <v>5</v>
      </c>
      <c r="B5" t="s">
        <v>10</v>
      </c>
      <c r="C5" t="s">
        <v>7</v>
      </c>
      <c r="D5">
        <v>24000000</v>
      </c>
      <c r="E5">
        <v>25000000</v>
      </c>
    </row>
    <row r="6" spans="1:5" x14ac:dyDescent="0.25">
      <c r="A6" t="s">
        <v>11</v>
      </c>
      <c r="B6" t="s">
        <v>6</v>
      </c>
      <c r="C6" t="s">
        <v>7</v>
      </c>
      <c r="D6">
        <v>21000000</v>
      </c>
      <c r="E6">
        <v>20000000</v>
      </c>
    </row>
    <row r="7" spans="1:5" x14ac:dyDescent="0.25">
      <c r="A7" t="s">
        <v>11</v>
      </c>
      <c r="B7" t="s">
        <v>8</v>
      </c>
      <c r="C7" t="s">
        <v>7</v>
      </c>
      <c r="D7">
        <v>10000000</v>
      </c>
      <c r="E7">
        <v>10000000</v>
      </c>
    </row>
    <row r="8" spans="1:5" x14ac:dyDescent="0.25">
      <c r="A8" t="s">
        <v>11</v>
      </c>
      <c r="B8" t="s">
        <v>9</v>
      </c>
      <c r="C8" t="s">
        <v>7</v>
      </c>
      <c r="D8">
        <v>5000000</v>
      </c>
      <c r="E8">
        <v>5000000</v>
      </c>
    </row>
    <row r="9" spans="1:5" x14ac:dyDescent="0.25">
      <c r="A9" t="s">
        <v>11</v>
      </c>
      <c r="B9" t="s">
        <v>10</v>
      </c>
      <c r="C9" t="s">
        <v>7</v>
      </c>
      <c r="D9">
        <v>5000000</v>
      </c>
      <c r="E9">
        <v>5000000</v>
      </c>
    </row>
    <row r="10" spans="1:5" x14ac:dyDescent="0.25">
      <c r="A10" t="s">
        <v>12</v>
      </c>
      <c r="B10" t="s">
        <v>6</v>
      </c>
      <c r="C10" t="s">
        <v>7</v>
      </c>
      <c r="D10">
        <v>11000000</v>
      </c>
      <c r="E10">
        <v>10000000</v>
      </c>
    </row>
    <row r="11" spans="1:5" x14ac:dyDescent="0.25">
      <c r="A11" t="s">
        <v>12</v>
      </c>
      <c r="B11" t="s">
        <v>8</v>
      </c>
      <c r="C11" t="s">
        <v>7</v>
      </c>
      <c r="D11">
        <v>5000000</v>
      </c>
      <c r="E11">
        <v>5000000</v>
      </c>
    </row>
    <row r="12" spans="1:5" x14ac:dyDescent="0.25">
      <c r="A12" t="s">
        <v>12</v>
      </c>
      <c r="B12" t="s">
        <v>9</v>
      </c>
      <c r="C12" t="s">
        <v>7</v>
      </c>
      <c r="D12">
        <v>4000000</v>
      </c>
      <c r="E12">
        <v>4000000</v>
      </c>
    </row>
    <row r="13" spans="1:5" x14ac:dyDescent="0.25">
      <c r="A13" t="s">
        <v>13</v>
      </c>
      <c r="B13" t="s">
        <v>10</v>
      </c>
      <c r="C13" t="s">
        <v>7</v>
      </c>
      <c r="D13">
        <v>5000000</v>
      </c>
      <c r="E13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19</v>
      </c>
      <c r="B2" t="s">
        <v>20</v>
      </c>
      <c r="C2">
        <v>70000000</v>
      </c>
      <c r="D2">
        <v>72000000</v>
      </c>
      <c r="E2">
        <f>SUM(C2:D2)</f>
        <v>142000000</v>
      </c>
    </row>
    <row r="3" spans="1:5" x14ac:dyDescent="0.25">
      <c r="A3" t="s">
        <v>21</v>
      </c>
      <c r="B3" t="s">
        <v>22</v>
      </c>
      <c r="C3">
        <v>25000000</v>
      </c>
      <c r="D3">
        <v>26000000</v>
      </c>
      <c r="E3">
        <f>SUM(C3:D3)</f>
        <v>51000000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26</v>
      </c>
      <c r="B2" t="s">
        <v>7</v>
      </c>
      <c r="C2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27</v>
      </c>
      <c r="B1" t="s">
        <v>23</v>
      </c>
      <c r="C1" t="s">
        <v>16</v>
      </c>
      <c r="D1" t="s">
        <v>17</v>
      </c>
    </row>
    <row r="2" spans="1:4" x14ac:dyDescent="0.25">
      <c r="A2" t="s">
        <v>12</v>
      </c>
      <c r="B2" t="s">
        <v>26</v>
      </c>
      <c r="C2">
        <v>23000000</v>
      </c>
      <c r="D2">
        <f>C2*1.02</f>
        <v>23460000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31</v>
      </c>
      <c r="B2">
        <v>0.03</v>
      </c>
      <c r="C2" t="s">
        <v>32</v>
      </c>
    </row>
    <row r="3" spans="1:3" x14ac:dyDescent="0.25">
      <c r="A3" t="s">
        <v>33</v>
      </c>
      <c r="B3">
        <v>0.02</v>
      </c>
      <c r="C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P&amp;L</vt:lpstr>
      <vt:lpstr>Revenue</vt:lpstr>
      <vt:lpstr>Headcount</vt:lpstr>
      <vt:lpstr>Opex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Planora certification fixture</dc:creator>
  <dc:title/>
  <dc:subject/>
  <dc:description/>
  <cp:keywords/>
  <cp:category/>
  <cp:lastModifiedBy>Unknown</cp:lastModifiedBy>
  <dcterms:created xsi:type="dcterms:W3CDTF">2026-08-31T00:00:00Z</dcterms:created>
  <dcterms:modified xsi:type="dcterms:W3CDTF">2026-08-31T14:22:13Z</dcterms:modified>
</cp:coreProperties>
</file>